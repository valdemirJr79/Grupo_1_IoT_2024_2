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_leite150\Desktop\"/>
    </mc:Choice>
  </mc:AlternateContent>
  <xr:revisionPtr revIDLastSave="0" documentId="8_{DE326D2A-D650-44AE-B7D7-C96A98870DE1}" xr6:coauthVersionLast="47" xr6:coauthVersionMax="47" xr10:uidLastSave="{00000000-0000-0000-0000-000000000000}"/>
  <bookViews>
    <workbookView xWindow="-120" yWindow="-120" windowWidth="20640" windowHeight="11040" xr2:uid="{339C6C81-5EC4-4C77-8545-FCC72F8098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" l="1"/>
  <c r="E17" i="1"/>
  <c r="B18" i="1"/>
  <c r="B17" i="1"/>
  <c r="B15" i="1"/>
  <c r="D8" i="1"/>
  <c r="C8" i="1"/>
  <c r="B8" i="1"/>
  <c r="D5" i="1"/>
  <c r="C5" i="1"/>
  <c r="B5" i="1"/>
</calcChain>
</file>

<file path=xl/sharedStrings.xml><?xml version="1.0" encoding="utf-8"?>
<sst xmlns="http://schemas.openxmlformats.org/spreadsheetml/2006/main" count="17" uniqueCount="17">
  <si>
    <t>Volts Resistor</t>
  </si>
  <si>
    <t>Volts Leds</t>
  </si>
  <si>
    <t>Verde</t>
  </si>
  <si>
    <t>Amarelo</t>
  </si>
  <si>
    <t>Vermelho</t>
  </si>
  <si>
    <t>Volts Total</t>
  </si>
  <si>
    <t>Saída da placa</t>
  </si>
  <si>
    <t>VR</t>
  </si>
  <si>
    <t>10k ohms</t>
  </si>
  <si>
    <t>Ma</t>
  </si>
  <si>
    <t>Ohms</t>
  </si>
  <si>
    <t>volts led verde</t>
  </si>
  <si>
    <t>Volts da placa</t>
  </si>
  <si>
    <t>mA</t>
  </si>
  <si>
    <t>Resistencia</t>
  </si>
  <si>
    <t>Tensão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</si>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</sst>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5B7A-DC34-449E-8E39-4D2FFF0F973C}">
  <dimension ref="A1:F18"/>
  <sheetViews>
    <sheetView tabSelected="1" workbookViewId="0">
      <selection activeCell="E18" sqref="E18"/>
    </sheetView>
  </sheetViews>
  <sheetFormatPr defaultRowHeight="15" x14ac:dyDescent="0.25"/>
  <cols>
    <col min="1" max="1" width="17.140625" customWidth="1"/>
  </cols>
  <sheetData>
    <row r="1" spans="1:6" x14ac:dyDescent="0.25">
      <c r="B1" t="s">
        <v>8</v>
      </c>
    </row>
    <row r="2" spans="1:6" x14ac:dyDescent="0.25">
      <c r="B2" t="s">
        <v>2</v>
      </c>
      <c r="C2" t="s">
        <v>3</v>
      </c>
      <c r="D2" t="s">
        <v>4</v>
      </c>
    </row>
    <row r="3" spans="1:6" x14ac:dyDescent="0.25">
      <c r="A3" t="s">
        <v>0</v>
      </c>
      <c r="B3" s="1">
        <v>1.08</v>
      </c>
      <c r="C3" s="1">
        <v>1.488</v>
      </c>
      <c r="D3" s="1">
        <v>1.5529999999999999</v>
      </c>
      <c r="F3" s="1"/>
    </row>
    <row r="4" spans="1:6" x14ac:dyDescent="0.25">
      <c r="A4" t="s">
        <v>1</v>
      </c>
      <c r="B4" s="1">
        <v>2.1890000000000001</v>
      </c>
      <c r="C4" s="1">
        <v>1.7929999999999999</v>
      </c>
      <c r="D4" s="1">
        <v>1.72</v>
      </c>
    </row>
    <row r="5" spans="1:6" x14ac:dyDescent="0.25">
      <c r="A5" t="s">
        <v>5</v>
      </c>
      <c r="B5">
        <f>SUM(B3:B4)</f>
        <v>3.2690000000000001</v>
      </c>
      <c r="C5">
        <f t="shared" ref="C5:D5" si="0">SUM(C3:C4)</f>
        <v>3.2809999999999997</v>
      </c>
      <c r="D5">
        <f t="shared" si="0"/>
        <v>3.2729999999999997</v>
      </c>
    </row>
    <row r="7" spans="1:6" x14ac:dyDescent="0.25">
      <c r="A7" t="s">
        <v>6</v>
      </c>
      <c r="B7">
        <v>3.3</v>
      </c>
      <c r="C7">
        <v>3.3</v>
      </c>
      <c r="D7">
        <v>3.3</v>
      </c>
    </row>
    <row r="8" spans="1:6" x14ac:dyDescent="0.25">
      <c r="A8" t="s">
        <v>7</v>
      </c>
      <c r="B8" s="1">
        <f>B7-B4</f>
        <v>1.1109999999999998</v>
      </c>
      <c r="C8" s="1">
        <f t="shared" ref="C8:D8" si="1">C7-C4</f>
        <v>1.5069999999999999</v>
      </c>
      <c r="D8" s="1">
        <f t="shared" si="1"/>
        <v>1.5799999999999998</v>
      </c>
    </row>
    <row r="10" spans="1:6" x14ac:dyDescent="0.25">
      <c r="A10" t="s">
        <v>9</v>
      </c>
      <c r="B10">
        <v>2.2400000000000002</v>
      </c>
    </row>
    <row r="12" spans="1:6" x14ac:dyDescent="0.25">
      <c r="A12" t="s">
        <v>12</v>
      </c>
      <c r="B12">
        <v>3.3</v>
      </c>
      <c r="C12" t="s">
        <v>15</v>
      </c>
      <c r="E12">
        <v>3.3</v>
      </c>
    </row>
    <row r="13" spans="1:6" x14ac:dyDescent="0.25">
      <c r="A13" t="s">
        <v>10</v>
      </c>
      <c r="B13">
        <v>100</v>
      </c>
      <c r="C13" t="s">
        <v>14</v>
      </c>
      <c r="E13">
        <v>330</v>
      </c>
    </row>
    <row r="14" spans="1:6" x14ac:dyDescent="0.25">
      <c r="A14" t="s">
        <v>11</v>
      </c>
      <c r="B14">
        <v>2</v>
      </c>
      <c r="E14">
        <v>2</v>
      </c>
    </row>
    <row r="15" spans="1:6" x14ac:dyDescent="0.25">
      <c r="B15">
        <f>B14-B12</f>
        <v>-1.2999999999999998</v>
      </c>
    </row>
    <row r="17" spans="1:5" x14ac:dyDescent="0.25">
      <c r="A17" t="s">
        <v>13</v>
      </c>
      <c r="B17">
        <f>B12/B13</f>
        <v>3.3000000000000002E-2</v>
      </c>
      <c r="C17" t="s">
        <v>16</v>
      </c>
      <c r="E17">
        <f>(E12-E14)/E13</f>
        <v>3.9393939393939387E-3</v>
      </c>
    </row>
    <row r="18" spans="1:5" x14ac:dyDescent="0.25">
      <c r="B18">
        <f>B13*B17</f>
        <v>3.3000000000000003</v>
      </c>
      <c r="E18">
        <f>E17*E13</f>
        <v>1.2999999999999998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LEITE</dc:creator>
  <cp:lastModifiedBy>MATHEUS LEITE</cp:lastModifiedBy>
  <dcterms:created xsi:type="dcterms:W3CDTF">2026-02-24T22:45:55Z</dcterms:created>
  <dcterms:modified xsi:type="dcterms:W3CDTF">2026-02-24T23:53:14Z</dcterms:modified>
</cp:coreProperties>
</file>